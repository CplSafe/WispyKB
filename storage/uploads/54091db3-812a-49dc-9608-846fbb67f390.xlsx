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个人事项知识库" sheetId="1" r:id="rId1"/>
    <sheet name="网办事项流程图"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7CCF3313180945A0AFB8DBF239722431"/>
        <xdr:cNvPicPr>
          <a:picLocks noChangeAspect="1"/>
        </xdr:cNvPicPr>
      </xdr:nvPicPr>
      <xdr:blipFill>
        <a:blip r:embed="rId1"/>
        <a:stretch>
          <a:fillRect/>
        </a:stretch>
      </xdr:blipFill>
      <xdr:spPr>
        <a:xfrm>
          <a:off x="0" y="0"/>
          <a:ext cx="4048125" cy="7429500"/>
        </a:xfrm>
        <a:prstGeom prst="rect">
          <a:avLst/>
        </a:prstGeom>
        <a:noFill/>
        <a:ln w="9525">
          <a:noFill/>
        </a:ln>
      </xdr:spPr>
    </xdr:pic>
  </etc:cellImage>
  <etc:cellImage>
    <xdr:pic>
      <xdr:nvPicPr>
        <xdr:cNvPr id="3" name="ID_960380B277EC4A1D81723C5A138E3C14"/>
        <xdr:cNvPicPr>
          <a:picLocks noChangeAspect="1"/>
        </xdr:cNvPicPr>
      </xdr:nvPicPr>
      <xdr:blipFill>
        <a:blip r:embed="rId2"/>
        <a:stretch>
          <a:fillRect/>
        </a:stretch>
      </xdr:blipFill>
      <xdr:spPr>
        <a:xfrm>
          <a:off x="2333625" y="0"/>
          <a:ext cx="4133850" cy="7448550"/>
        </a:xfrm>
        <a:prstGeom prst="rect">
          <a:avLst/>
        </a:prstGeom>
        <a:noFill/>
        <a:ln w="9525">
          <a:noFill/>
        </a:ln>
      </xdr:spPr>
    </xdr:pic>
  </etc:cellImage>
  <etc:cellImage>
    <xdr:pic>
      <xdr:nvPicPr>
        <xdr:cNvPr id="4" name="ID_1E47DAD06B544E6A9B63C615926601C0"/>
        <xdr:cNvPicPr>
          <a:picLocks noChangeAspect="1"/>
        </xdr:cNvPicPr>
      </xdr:nvPicPr>
      <xdr:blipFill>
        <a:blip r:embed="rId3"/>
        <a:stretch>
          <a:fillRect/>
        </a:stretch>
      </xdr:blipFill>
      <xdr:spPr>
        <a:xfrm>
          <a:off x="4199890" y="0"/>
          <a:ext cx="4067175" cy="7439025"/>
        </a:xfrm>
        <a:prstGeom prst="rect">
          <a:avLst/>
        </a:prstGeom>
        <a:noFill/>
        <a:ln w="9525">
          <a:noFill/>
        </a:ln>
      </xdr:spPr>
    </xdr:pic>
  </etc:cellImage>
  <etc:cellImage>
    <xdr:pic>
      <xdr:nvPicPr>
        <xdr:cNvPr id="5" name="ID_041707A62B5F4F45B299B1488C981D00"/>
        <xdr:cNvPicPr>
          <a:picLocks noChangeAspect="1"/>
        </xdr:cNvPicPr>
      </xdr:nvPicPr>
      <xdr:blipFill>
        <a:blip r:embed="rId4"/>
        <a:stretch>
          <a:fillRect/>
        </a:stretch>
      </xdr:blipFill>
      <xdr:spPr>
        <a:xfrm>
          <a:off x="6038850" y="0"/>
          <a:ext cx="4067175" cy="7448550"/>
        </a:xfrm>
        <a:prstGeom prst="rect">
          <a:avLst/>
        </a:prstGeom>
        <a:noFill/>
        <a:ln w="9525">
          <a:noFill/>
        </a:ln>
      </xdr:spPr>
    </xdr:pic>
  </etc:cellImage>
  <etc:cellImage>
    <xdr:pic>
      <xdr:nvPicPr>
        <xdr:cNvPr id="6" name="ID_024D9BD7434D452782B4AD1AB24E3320"/>
        <xdr:cNvPicPr>
          <a:picLocks noChangeAspect="1"/>
        </xdr:cNvPicPr>
      </xdr:nvPicPr>
      <xdr:blipFill>
        <a:blip r:embed="rId5"/>
        <a:stretch>
          <a:fillRect/>
        </a:stretch>
      </xdr:blipFill>
      <xdr:spPr>
        <a:xfrm>
          <a:off x="7875270" y="0"/>
          <a:ext cx="4067175" cy="7467600"/>
        </a:xfrm>
        <a:prstGeom prst="rect">
          <a:avLst/>
        </a:prstGeom>
        <a:noFill/>
        <a:ln w="9525">
          <a:noFill/>
        </a:ln>
      </xdr:spPr>
    </xdr:pic>
  </etc:cellImage>
  <etc:cellImage>
    <xdr:pic>
      <xdr:nvPicPr>
        <xdr:cNvPr id="7" name="ID_F561606F5FC84583A786E80207118A7F"/>
        <xdr:cNvPicPr>
          <a:picLocks noChangeAspect="1"/>
        </xdr:cNvPicPr>
      </xdr:nvPicPr>
      <xdr:blipFill>
        <a:blip r:embed="rId6"/>
        <a:stretch>
          <a:fillRect/>
        </a:stretch>
      </xdr:blipFill>
      <xdr:spPr>
        <a:xfrm>
          <a:off x="9707245" y="0"/>
          <a:ext cx="4067175" cy="7467600"/>
        </a:xfrm>
        <a:prstGeom prst="rect">
          <a:avLst/>
        </a:prstGeom>
        <a:noFill/>
        <a:ln w="9525">
          <a:noFill/>
        </a:ln>
      </xdr:spPr>
    </xdr:pic>
  </etc:cellImage>
  <etc:cellImage>
    <xdr:pic>
      <xdr:nvPicPr>
        <xdr:cNvPr id="8" name="ID_47060F8B99644A70B498DD7E64EF8FF9"/>
        <xdr:cNvPicPr>
          <a:picLocks noChangeAspect="1"/>
        </xdr:cNvPicPr>
      </xdr:nvPicPr>
      <xdr:blipFill>
        <a:blip r:embed="rId7"/>
        <a:stretch>
          <a:fillRect/>
        </a:stretch>
      </xdr:blipFill>
      <xdr:spPr>
        <a:xfrm>
          <a:off x="2867025" y="3937000"/>
          <a:ext cx="3971925" cy="7477125"/>
        </a:xfrm>
        <a:prstGeom prst="rect">
          <a:avLst/>
        </a:prstGeom>
        <a:noFill/>
        <a:ln w="9525">
          <a:noFill/>
        </a:ln>
      </xdr:spPr>
    </xdr:pic>
  </etc:cellImage>
  <etc:cellImage>
    <xdr:pic>
      <xdr:nvPicPr>
        <xdr:cNvPr id="9" name="ID_0DFB55E773644B6A98D8CC55159EF82B"/>
        <xdr:cNvPicPr>
          <a:picLocks noChangeAspect="1"/>
        </xdr:cNvPicPr>
      </xdr:nvPicPr>
      <xdr:blipFill>
        <a:blip r:embed="rId8"/>
        <a:stretch>
          <a:fillRect/>
        </a:stretch>
      </xdr:blipFill>
      <xdr:spPr>
        <a:xfrm>
          <a:off x="5048250" y="3937000"/>
          <a:ext cx="4057650" cy="7534275"/>
        </a:xfrm>
        <a:prstGeom prst="rect">
          <a:avLst/>
        </a:prstGeom>
        <a:noFill/>
        <a:ln w="9525">
          <a:noFill/>
        </a:ln>
      </xdr:spPr>
    </xdr:pic>
  </etc:cellImage>
  <etc:cellImage>
    <xdr:pic>
      <xdr:nvPicPr>
        <xdr:cNvPr id="10" name="ID_9AC9CDE298C64FCCADE2192B9D549738"/>
        <xdr:cNvPicPr>
          <a:picLocks noChangeAspect="1"/>
        </xdr:cNvPicPr>
      </xdr:nvPicPr>
      <xdr:blipFill>
        <a:blip r:embed="rId9"/>
        <a:stretch>
          <a:fillRect/>
        </a:stretch>
      </xdr:blipFill>
      <xdr:spPr>
        <a:xfrm>
          <a:off x="7229475" y="3937000"/>
          <a:ext cx="4000500" cy="7429500"/>
        </a:xfrm>
        <a:prstGeom prst="rect">
          <a:avLst/>
        </a:prstGeom>
        <a:noFill/>
        <a:ln w="9525">
          <a:noFill/>
        </a:ln>
      </xdr:spPr>
    </xdr:pic>
  </etc:cellImage>
  <etc:cellImage>
    <xdr:pic>
      <xdr:nvPicPr>
        <xdr:cNvPr id="11" name="ID_C56D5F3AF2C2417A9348542FDFEA985B"/>
        <xdr:cNvPicPr>
          <a:picLocks noChangeAspect="1"/>
        </xdr:cNvPicPr>
      </xdr:nvPicPr>
      <xdr:blipFill>
        <a:blip r:embed="rId10"/>
        <a:stretch>
          <a:fillRect/>
        </a:stretch>
      </xdr:blipFill>
      <xdr:spPr>
        <a:xfrm>
          <a:off x="9410700" y="3937000"/>
          <a:ext cx="4048125" cy="7410450"/>
        </a:xfrm>
        <a:prstGeom prst="rect">
          <a:avLst/>
        </a:prstGeom>
        <a:noFill/>
        <a:ln w="9525">
          <a:noFill/>
        </a:ln>
      </xdr:spPr>
    </xdr:pic>
  </etc:cellImage>
  <etc:cellImage>
    <xdr:pic>
      <xdr:nvPicPr>
        <xdr:cNvPr id="12" name="ID_9C615741D16B49D187151BCF83308BFF"/>
        <xdr:cNvPicPr>
          <a:picLocks noChangeAspect="1"/>
        </xdr:cNvPicPr>
      </xdr:nvPicPr>
      <xdr:blipFill>
        <a:blip r:embed="rId11"/>
        <a:stretch>
          <a:fillRect/>
        </a:stretch>
      </xdr:blipFill>
      <xdr:spPr>
        <a:xfrm>
          <a:off x="11591925" y="3937000"/>
          <a:ext cx="3914775" cy="7439025"/>
        </a:xfrm>
        <a:prstGeom prst="rect">
          <a:avLst/>
        </a:prstGeom>
        <a:noFill/>
        <a:ln w="9525">
          <a:noFill/>
        </a:ln>
      </xdr:spPr>
    </xdr:pic>
  </etc:cellImage>
  <etc:cellImage>
    <xdr:pic>
      <xdr:nvPicPr>
        <xdr:cNvPr id="13" name="ID_EEF08634B53D4AFF96A08E5377FD2180"/>
        <xdr:cNvPicPr>
          <a:picLocks noChangeAspect="1"/>
        </xdr:cNvPicPr>
      </xdr:nvPicPr>
      <xdr:blipFill>
        <a:blip r:embed="rId12"/>
        <a:stretch>
          <a:fillRect/>
        </a:stretch>
      </xdr:blipFill>
      <xdr:spPr>
        <a:xfrm>
          <a:off x="13773150" y="3937000"/>
          <a:ext cx="4076700" cy="7524750"/>
        </a:xfrm>
        <a:prstGeom prst="rect">
          <a:avLst/>
        </a:prstGeom>
        <a:noFill/>
        <a:ln w="9525">
          <a:noFill/>
        </a:ln>
      </xdr:spPr>
    </xdr:pic>
  </etc:cellImage>
  <etc:cellImage>
    <xdr:pic>
      <xdr:nvPicPr>
        <xdr:cNvPr id="14" name="ID_FCF637D811D54D8BA2E4E6D95B8F99FF"/>
        <xdr:cNvPicPr>
          <a:picLocks noChangeAspect="1"/>
        </xdr:cNvPicPr>
      </xdr:nvPicPr>
      <xdr:blipFill>
        <a:blip r:embed="rId13"/>
        <a:stretch>
          <a:fillRect/>
        </a:stretch>
      </xdr:blipFill>
      <xdr:spPr>
        <a:xfrm>
          <a:off x="13773150" y="596900"/>
          <a:ext cx="4105275" cy="7505700"/>
        </a:xfrm>
        <a:prstGeom prst="rect">
          <a:avLst/>
        </a:prstGeom>
        <a:noFill/>
        <a:ln w="9525">
          <a:noFill/>
        </a:ln>
      </xdr:spPr>
    </xdr:pic>
  </etc:cellImage>
  <etc:cellImage>
    <xdr:pic>
      <xdr:nvPicPr>
        <xdr:cNvPr id="15" name="ID_9B98CC54FD064C579D8F332C73885F24"/>
        <xdr:cNvPicPr>
          <a:picLocks noChangeAspect="1"/>
        </xdr:cNvPicPr>
      </xdr:nvPicPr>
      <xdr:blipFill>
        <a:blip r:embed="rId14"/>
        <a:stretch>
          <a:fillRect/>
        </a:stretch>
      </xdr:blipFill>
      <xdr:spPr>
        <a:xfrm>
          <a:off x="15954375" y="596900"/>
          <a:ext cx="3990975" cy="7486650"/>
        </a:xfrm>
        <a:prstGeom prst="rect">
          <a:avLst/>
        </a:prstGeom>
        <a:noFill/>
        <a:ln w="9525">
          <a:noFill/>
        </a:ln>
      </xdr:spPr>
    </xdr:pic>
  </etc:cellImage>
</etc:cellImages>
</file>

<file path=xl/sharedStrings.xml><?xml version="1.0" encoding="utf-8"?>
<sst xmlns="http://schemas.openxmlformats.org/spreadsheetml/2006/main" count="71" uniqueCount="51">
  <si>
    <t>序号</t>
  </si>
  <si>
    <t>事项名称</t>
  </si>
  <si>
    <t>业务部门</t>
  </si>
  <si>
    <t>办理类型</t>
  </si>
  <si>
    <t>办理渠道</t>
  </si>
  <si>
    <t>办理层级</t>
  </si>
  <si>
    <t>办理地点</t>
  </si>
  <si>
    <t>受理条件</t>
  </si>
  <si>
    <t>申请材料</t>
  </si>
  <si>
    <t>办理时限</t>
  </si>
  <si>
    <t>咨询电话</t>
  </si>
  <si>
    <t>监督投诉电话</t>
  </si>
  <si>
    <t>失业登记</t>
  </si>
  <si>
    <t>人社部门</t>
  </si>
  <si>
    <t>全程网办</t>
  </si>
  <si>
    <t>湘易办小程序</t>
  </si>
  <si>
    <t>/</t>
  </si>
  <si>
    <t>劳动年龄内、有劳动能力、有就业要求、处于无业状态的城乡劳动者可以在户籍地、常住地、参保地、就业地申请失业登记。</t>
  </si>
  <si>
    <t>居民身份证（可免提交）</t>
  </si>
  <si>
    <t>5个工作日</t>
  </si>
  <si>
    <t>0737-4438185</t>
  </si>
  <si>
    <t>0737-6106266</t>
  </si>
  <si>
    <t>人员基本信息变更</t>
  </si>
  <si>
    <t>在湖南省本级企业养老保险用人单位的参保人本人信息与系统信息有遗漏，系统信息错误需要修改。</t>
  </si>
  <si>
    <t>1.居民身份证（可免提交）；2.人员登记信息修正项相关的佐证材料；3.湖南省企业职工基本养老保险人员登记信息修正申请表（模板可下载）</t>
  </si>
  <si>
    <t>1个工作日</t>
  </si>
  <si>
    <t>0737-4424859</t>
  </si>
  <si>
    <t>内地居民结婚登记</t>
  </si>
  <si>
    <t>民政部门</t>
  </si>
  <si>
    <t>区级本人现场办</t>
  </si>
  <si>
    <t>线下办理</t>
  </si>
  <si>
    <t>区县级</t>
  </si>
  <si>
    <t>湖南省益阳市赫山区益阳大道188号福泽大厦赫山区政务服务中心2楼C区婚姻登记窗口</t>
  </si>
  <si>
    <t>1、申请事项属于该婚姻登记处职能范围；2、要求结婚的男女双方亲自共同到婚姻登记处提出申请；3、当事人男不得早于22周岁，女不得早于20周岁，生日当天可以受理；4、当事人双方均无配偶（未婚、离婚、丧偶）；5、当事人双方没有直系血亲和三代以内旁系血亲关系；6、双方自愿结婚；7、当事人持有有效证件和书面材料。</t>
  </si>
  <si>
    <t>1.男女方居民身份证原件；2.3张2寸男女双方近期半身免冠合影照片原件；3.离婚证原件；4.丧偶证明材料原件</t>
  </si>
  <si>
    <t>0737-4431245</t>
  </si>
  <si>
    <t>年满3周岁从未登记户口公民户口补登</t>
  </si>
  <si>
    <t>公安部门</t>
  </si>
  <si>
    <t>乡镇（街道）本人现场办</t>
  </si>
  <si>
    <t>乡镇（街道）本级</t>
  </si>
  <si>
    <t>各乡镇（街道）便民大厅户籍窗口</t>
  </si>
  <si>
    <t>年满3周岁公民从未登记过户口的，本人或者其监护人应当向本人居住地或者监护人户口所在地公安派出所申报户口补登，并接受民警与申请人的见面谈话调查，形成调查材料。其中，年满6周岁的未成年人申报户口补登的，还必须进行人像、指纹、DNA数据比对。</t>
  </si>
  <si>
    <t>1.《出生医学证明》；2.申请人居民户口薄内页；3.中华人民共和国结婚证；4.新生儿民族成份填报确认书</t>
  </si>
  <si>
    <t>35个工作日</t>
  </si>
  <si>
    <t xml:space="preserve"> 0737-4646229（衡龙桥镇）</t>
  </si>
  <si>
    <t>城乡最低生活保障对象初审</t>
  </si>
  <si>
    <t>村（社区）代办</t>
  </si>
  <si>
    <t>各乡镇（街道）便民大厅综合窗口</t>
  </si>
  <si>
    <t>申请人提供相关材料，递交至乡镇（街道）受理完成初审。符合条件者录入湖南省救助管理系统，纸质材料需存档。</t>
  </si>
  <si>
    <t>1.《城乡最低生活保障申请报告》原件；2.申请人居民身份证；3.户口薄内页复印件；4.中华人民共和国残疾人证；5.住院费用清单</t>
  </si>
  <si>
    <t>2-18个工作日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</si>
</sst>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vertical="center" wrapText="1"/>
    </xf>
    <xf numFmtId="0" fontId="0" fillId="0" borderId="1" xfId="0" applyBorder="1">
      <alignment vertical="center"/>
    </xf>
    <xf numFmtId="0" fontId="0" fillId="0" borderId="1" xfId="0" applyBorder="1">
      <alignment vertical="center"/>
    </xf>
    <xf numFmtId="0" fontId="1" fillId="0" borderId="1" xfId="0" applyFont="1" applyBorder="1">
      <alignment vertical="center"/>
    </xf>
    <xf numFmtId="0" fontId="0" fillId="0" borderId="1" xfId="0" applyBorder="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L12"/>
  <sheetViews>
    <sheetView tabSelected="1" workbookViewId="0">
      <selection activeCell="K2" sqref="K2"/>
    </sheetView>
  </sheetViews>
  <sheetFormatPr defaultColWidth="9" defaultRowHeight="13.5"/>
  <cols>
    <col min="1" max="1" width="6" customWidth="1"/>
    <col min="2" max="2" width="17.5" customWidth="1"/>
    <col min="3" max="3" width="11.875" style="9" customWidth="1"/>
    <col min="4" max="4" width="11.125" style="9" customWidth="1"/>
    <col min="5" max="5" width="11.5" style="9" customWidth="1"/>
    <col min="6" max="6" width="9.25" customWidth="1"/>
    <col min="7" max="7" width="13.875" customWidth="1"/>
    <col min="8" max="8" width="35.375" customWidth="1"/>
    <col min="9" max="9" width="20.5" customWidth="1"/>
    <col min="10" max="10" width="10" customWidth="1"/>
    <col min="11" max="11" width="14.625" customWidth="1"/>
    <col min="12" max="12" width="13" customWidth="1"/>
  </cols>
  <sheetData>
    <row r="1" ht="25" customHeight="1" spans="1:12">
      <c r="A1" s="4" t="s">
        <v>0</v>
      </c>
      <c r="B1" s="10" t="s">
        <v>1</v>
      </c>
      <c r="C1" s="10" t="s">
        <v>2</v>
      </c>
      <c r="D1" s="10" t="s">
        <v>3</v>
      </c>
      <c r="E1" s="10" t="s">
        <v>4</v>
      </c>
      <c r="F1" s="10" t="s">
        <v>5</v>
      </c>
      <c r="G1" s="10" t="s">
        <v>6</v>
      </c>
      <c r="H1" s="10" t="s">
        <v>7</v>
      </c>
      <c r="I1" s="10" t="s">
        <v>8</v>
      </c>
      <c r="J1" s="10" t="s">
        <v>9</v>
      </c>
      <c r="K1" s="10" t="s">
        <v>10</v>
      </c>
      <c r="L1" s="5" t="s">
        <v>11</v>
      </c>
    </row>
    <row r="2" ht="58" customHeight="1" spans="1:12">
      <c r="A2" s="10">
        <v>1</v>
      </c>
      <c r="B2" s="4" t="s">
        <v>12</v>
      </c>
      <c r="C2" s="11" t="s">
        <v>13</v>
      </c>
      <c r="D2" s="11" t="s">
        <v>14</v>
      </c>
      <c r="E2" s="12" t="s">
        <v>15</v>
      </c>
      <c r="F2" s="11" t="s">
        <v>16</v>
      </c>
      <c r="G2" s="11" t="s">
        <v>16</v>
      </c>
      <c r="H2" s="13" t="s">
        <v>17</v>
      </c>
      <c r="I2" s="13" t="s">
        <v>18</v>
      </c>
      <c r="J2" s="4" t="s">
        <v>19</v>
      </c>
      <c r="K2" s="4" t="s">
        <v>20</v>
      </c>
      <c r="L2" s="5" t="s">
        <v>21</v>
      </c>
    </row>
    <row r="3" ht="105" customHeight="1" spans="1:12">
      <c r="A3" s="10">
        <v>2</v>
      </c>
      <c r="B3" s="4" t="s">
        <v>22</v>
      </c>
      <c r="C3" s="11" t="s">
        <v>13</v>
      </c>
      <c r="D3" s="11" t="s">
        <v>14</v>
      </c>
      <c r="E3" s="12" t="s">
        <v>15</v>
      </c>
      <c r="F3" s="11" t="s">
        <v>16</v>
      </c>
      <c r="G3" s="11" t="s">
        <v>16</v>
      </c>
      <c r="H3" s="13" t="s">
        <v>23</v>
      </c>
      <c r="I3" s="13" t="s">
        <v>24</v>
      </c>
      <c r="J3" s="4" t="s">
        <v>25</v>
      </c>
      <c r="K3" s="4" t="s">
        <v>26</v>
      </c>
      <c r="L3" s="5" t="s">
        <v>21</v>
      </c>
    </row>
    <row r="4" ht="144" customHeight="1" spans="1:12">
      <c r="A4" s="10">
        <v>3</v>
      </c>
      <c r="B4" s="4" t="s">
        <v>27</v>
      </c>
      <c r="C4" s="12" t="s">
        <v>28</v>
      </c>
      <c r="D4" s="12" t="s">
        <v>29</v>
      </c>
      <c r="E4" s="11" t="s">
        <v>30</v>
      </c>
      <c r="F4" s="13" t="s">
        <v>31</v>
      </c>
      <c r="G4" s="13" t="s">
        <v>32</v>
      </c>
      <c r="H4" s="13" t="s">
        <v>33</v>
      </c>
      <c r="I4" s="13" t="s">
        <v>34</v>
      </c>
      <c r="J4" s="4" t="s">
        <v>25</v>
      </c>
      <c r="K4" s="4" t="s">
        <v>35</v>
      </c>
      <c r="L4" s="5" t="s">
        <v>21</v>
      </c>
    </row>
    <row r="5" ht="113" customHeight="1" spans="1:12">
      <c r="A5" s="10">
        <v>4</v>
      </c>
      <c r="B5" s="13" t="s">
        <v>36</v>
      </c>
      <c r="C5" s="11" t="s">
        <v>37</v>
      </c>
      <c r="D5" s="12" t="s">
        <v>38</v>
      </c>
      <c r="E5" s="11" t="s">
        <v>30</v>
      </c>
      <c r="F5" s="13" t="s">
        <v>39</v>
      </c>
      <c r="G5" s="13" t="s">
        <v>40</v>
      </c>
      <c r="H5" s="13" t="s">
        <v>41</v>
      </c>
      <c r="I5" s="13" t="s">
        <v>42</v>
      </c>
      <c r="J5" s="4" t="s">
        <v>43</v>
      </c>
      <c r="K5" s="14" t="s">
        <v>44</v>
      </c>
      <c r="L5" s="5" t="s">
        <v>21</v>
      </c>
    </row>
    <row r="6" s="8" customFormat="1" ht="119" customHeight="1" spans="1:12">
      <c r="A6" s="10">
        <v>5</v>
      </c>
      <c r="B6" s="13" t="s">
        <v>45</v>
      </c>
      <c r="C6" s="12" t="s">
        <v>28</v>
      </c>
      <c r="D6" s="12" t="s">
        <v>46</v>
      </c>
      <c r="E6" s="12" t="s">
        <v>30</v>
      </c>
      <c r="F6" s="13" t="s">
        <v>39</v>
      </c>
      <c r="G6" s="13" t="s">
        <v>47</v>
      </c>
      <c r="H6" s="13" t="s">
        <v>48</v>
      </c>
      <c r="I6" s="13" t="s">
        <v>49</v>
      </c>
      <c r="J6" s="13" t="s">
        <v>50</v>
      </c>
      <c r="K6" s="14" t="s">
        <v>44</v>
      </c>
      <c r="L6" s="5" t="s">
        <v>21</v>
      </c>
    </row>
    <row r="12" spans="6:6">
      <c r="F12" s="8"/>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I3"/>
  <sheetViews>
    <sheetView workbookViewId="0">
      <selection activeCell="I3" sqref="I3"/>
    </sheetView>
  </sheetViews>
  <sheetFormatPr defaultColWidth="9" defaultRowHeight="13.5" outlineLevelRow="2"/>
  <cols>
    <col min="2" max="9" width="28.625" customWidth="1"/>
  </cols>
  <sheetData>
    <row r="1" ht="47" customHeight="1" spans="1:9">
      <c r="A1" s="1" t="s">
        <v>1</v>
      </c>
      <c r="B1" s="2">
        <v>1</v>
      </c>
      <c r="C1" s="2">
        <v>2</v>
      </c>
      <c r="D1" s="2">
        <v>3</v>
      </c>
      <c r="E1" s="2">
        <v>4</v>
      </c>
      <c r="F1" s="2">
        <v>5</v>
      </c>
      <c r="G1" s="2">
        <v>6</v>
      </c>
      <c r="H1" s="2">
        <v>7</v>
      </c>
      <c r="I1" s="2">
        <v>8</v>
      </c>
    </row>
    <row r="2" ht="263" customHeight="1" spans="1:9">
      <c r="A2" s="3" t="s">
        <v>22</v>
      </c>
      <c r="B2" s="4" t="str">
        <f>_xlfn.DISPIMG("ID_7CCF3313180945A0AFB8DBF239722431",1)</f>
        <v>=DISPIMG("ID_7CCF3313180945A0AFB8DBF239722431",1)</v>
      </c>
      <c r="C2" s="4" t="str">
        <f>_xlfn.DISPIMG("ID_960380B277EC4A1D81723C5A138E3C14",1)</f>
        <v>=DISPIMG("ID_960380B277EC4A1D81723C5A138E3C14",1)</v>
      </c>
      <c r="D2" s="4" t="str">
        <f>_xlfn.DISPIMG("ID_1E47DAD06B544E6A9B63C615926601C0",1)</f>
        <v>=DISPIMG("ID_1E47DAD06B544E6A9B63C615926601C0",1)</v>
      </c>
      <c r="E2" s="4" t="str">
        <f>_xlfn.DISPIMG("ID_041707A62B5F4F45B299B1488C981D00",1)</f>
        <v>=DISPIMG("ID_041707A62B5F4F45B299B1488C981D00",1)</v>
      </c>
      <c r="F2" s="4" t="str">
        <f>_xlfn.DISPIMG("ID_024D9BD7434D452782B4AD1AB24E3320",1)</f>
        <v>=DISPIMG("ID_024D9BD7434D452782B4AD1AB24E3320",1)</v>
      </c>
      <c r="G2" s="4" t="str">
        <f>_xlfn.DISPIMG("ID_F561606F5FC84583A786E80207118A7F",1)</f>
        <v>=DISPIMG("ID_F561606F5FC84583A786E80207118A7F",1)</v>
      </c>
      <c r="H2" s="5" t="str">
        <f>_xlfn.DISPIMG("ID_FCF637D811D54D8BA2E4E6D95B8F99FF",1)</f>
        <v>=DISPIMG("ID_FCF637D811D54D8BA2E4E6D95B8F99FF",1)</v>
      </c>
      <c r="I2" s="5" t="str">
        <f>_xlfn.DISPIMG("ID_9B98CC54FD064C579D8F332C73885F24",1)</f>
        <v>=DISPIMG("ID_9B98CC54FD064C579D8F332C73885F24",1)</v>
      </c>
    </row>
    <row r="3" ht="207" customHeight="1" spans="1:9">
      <c r="A3" s="6" t="s">
        <v>12</v>
      </c>
      <c r="B3" s="4" t="str">
        <f>_xlfn.DISPIMG("ID_7CCF3313180945A0AFB8DBF239722431",1)</f>
        <v>=DISPIMG("ID_7CCF3313180945A0AFB8DBF239722431",1)</v>
      </c>
      <c r="C3" s="5" t="str">
        <f>_xlfn.DISPIMG("ID_47060F8B99644A70B498DD7E64EF8FF9",1)</f>
        <v>=DISPIMG("ID_47060F8B99644A70B498DD7E64EF8FF9",1)</v>
      </c>
      <c r="D3" s="5" t="str">
        <f>_xlfn.DISPIMG("ID_0DFB55E773644B6A98D8CC55159EF82B",1)</f>
        <v>=DISPIMG("ID_0DFB55E773644B6A98D8CC55159EF82B",1)</v>
      </c>
      <c r="E3" s="5" t="str">
        <f>_xlfn.DISPIMG("ID_9AC9CDE298C64FCCADE2192B9D549738",1)</f>
        <v>=DISPIMG("ID_9AC9CDE298C64FCCADE2192B9D549738",1)</v>
      </c>
      <c r="F3" s="5" t="str">
        <f>_xlfn.DISPIMG("ID_C56D5F3AF2C2417A9348542FDFEA985B",1)</f>
        <v>=DISPIMG("ID_C56D5F3AF2C2417A9348542FDFEA985B",1)</v>
      </c>
      <c r="G3" s="5" t="str">
        <f>_xlfn.DISPIMG("ID_9C615741D16B49D187151BCF83308BFF",1)</f>
        <v>=DISPIMG("ID_9C615741D16B49D187151BCF83308BFF",1)</v>
      </c>
      <c r="H3" s="5" t="str">
        <f>_xlfn.DISPIMG("ID_EEF08634B53D4AFF96A08E5377FD2180",1)</f>
        <v>=DISPIMG("ID_EEF08634B53D4AFF96A08E5377FD2180",1)</v>
      </c>
      <c r="I3" s="7"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个人事项知识库</vt:lpstr>
      <vt:lpstr>网办事项流程图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夕涼.。丹</cp:lastModifiedBy>
  <dcterms:created xsi:type="dcterms:W3CDTF">2026-02-05T06:58:00Z</dcterms:created>
  <dcterms:modified xsi:type="dcterms:W3CDTF">2026-02-06T02:38:46Z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5C524E3A07984869A17AED37997A95C6_13</vt:lpwstr>
  </property>
  <property fmtid="{D5CDD505-2E9C-101B-9397-08002B2CF9AE}" pid="3" name="KSOProductBuildVer">
    <vt:lpwstr>2052-12.1.0.16929</vt:lpwstr>
  </property>
  <property fmtid="{D5CDD505-2E9C-101B-9397-08002B2CF9AE}" pid="4" name="CalculationRule">
    <vt:i4>0</vt:i4>
  </property>
</Properties>
</file>